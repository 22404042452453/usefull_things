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Рабочий стол\Подработка_Калентионок\Подработка_№3\"/>
    </mc:Choice>
  </mc:AlternateContent>
  <bookViews>
    <workbookView xWindow="0" yWindow="0" windowWidth="30720" windowHeight="15312" tabRatio="500" activeTab="1"/>
  </bookViews>
  <sheets>
    <sheet name="1_Исходные данные" sheetId="1" r:id="rId1"/>
    <sheet name="2_Расчёт" sheetId="2" r:id="rId2"/>
    <sheet name="3_Комментарии" sheetId="3" r:id="rId3"/>
  </sheets>
  <calcPr calcId="162913"/>
</workbook>
</file>

<file path=xl/calcChain.xml><?xml version="1.0" encoding="utf-8"?>
<calcChain xmlns="http://schemas.openxmlformats.org/spreadsheetml/2006/main">
  <c r="E12" i="2" l="1"/>
  <c r="E13" i="2" s="1"/>
  <c r="D12" i="2"/>
  <c r="D13" i="2" s="1"/>
  <c r="C12" i="2"/>
  <c r="C13" i="2" s="1"/>
  <c r="E10" i="2"/>
  <c r="E27" i="2" s="1"/>
  <c r="D10" i="2"/>
  <c r="D27" i="2" s="1"/>
  <c r="C14" i="3" s="1"/>
  <c r="C10" i="2"/>
  <c r="C27" i="2" s="1"/>
  <c r="E8" i="2"/>
  <c r="D8" i="2"/>
  <c r="C8" i="2"/>
  <c r="C30" i="2" s="1"/>
  <c r="E7" i="2"/>
  <c r="D7" i="2"/>
  <c r="C7" i="2"/>
  <c r="E6" i="2"/>
  <c r="D6" i="2"/>
  <c r="C6" i="2"/>
  <c r="E5" i="2"/>
  <c r="D5" i="2"/>
  <c r="C5" i="2"/>
  <c r="E17" i="1"/>
  <c r="D17" i="1"/>
  <c r="C17" i="1"/>
  <c r="D18" i="2" l="1"/>
  <c r="D34" i="2" s="1"/>
  <c r="E18" i="2"/>
  <c r="E34" i="2" s="1"/>
  <c r="D32" i="2"/>
  <c r="E32" i="2"/>
  <c r="C30" i="3"/>
  <c r="C9" i="2"/>
  <c r="C21" i="2" s="1"/>
  <c r="D9" i="2"/>
  <c r="D17" i="2" s="1"/>
  <c r="E9" i="2"/>
  <c r="E30" i="2"/>
  <c r="D30" i="2"/>
  <c r="C5" i="3"/>
  <c r="C32" i="2"/>
  <c r="C4" i="3"/>
  <c r="C18" i="2"/>
  <c r="C34" i="2" s="1"/>
  <c r="E14" i="2"/>
  <c r="E33" i="2" s="1"/>
  <c r="D14" i="2"/>
  <c r="E21" i="2" l="1"/>
  <c r="E17" i="2"/>
  <c r="E31" i="2"/>
  <c r="E16" i="2"/>
  <c r="E19" i="2" s="1"/>
  <c r="E35" i="2" s="1"/>
  <c r="D31" i="2"/>
  <c r="D21" i="2"/>
  <c r="D16" i="2"/>
  <c r="D19" i="2" s="1"/>
  <c r="D35" i="2" s="1"/>
  <c r="C16" i="2"/>
  <c r="C19" i="2" s="1"/>
  <c r="C35" i="2" s="1"/>
  <c r="C31" i="2"/>
  <c r="C17" i="2"/>
  <c r="D25" i="2"/>
  <c r="C6" i="3"/>
  <c r="D33" i="2"/>
  <c r="E25" i="2"/>
  <c r="C36" i="3" s="1"/>
  <c r="C31" i="3"/>
  <c r="E37" i="2" l="1"/>
  <c r="D22" i="2"/>
  <c r="C11" i="3" s="1"/>
  <c r="E22" i="2"/>
  <c r="C33" i="3" s="1"/>
  <c r="C22" i="2"/>
  <c r="D36" i="2"/>
  <c r="C32" i="3"/>
  <c r="E26" i="2"/>
  <c r="C35" i="3" s="1"/>
  <c r="C7" i="3"/>
  <c r="D37" i="2"/>
  <c r="D26" i="2"/>
  <c r="C13" i="3" s="1"/>
  <c r="D23" i="2" l="1"/>
  <c r="C12" i="3" s="1"/>
  <c r="E36" i="2"/>
  <c r="C36" i="2"/>
  <c r="C10" i="3"/>
  <c r="E23" i="2"/>
  <c r="C34" i="3" s="1"/>
  <c r="C15" i="3"/>
</calcChain>
</file>

<file path=xl/sharedStrings.xml><?xml version="1.0" encoding="utf-8"?>
<sst xmlns="http://schemas.openxmlformats.org/spreadsheetml/2006/main" count="142" uniqueCount="111">
  <si>
    <t>ПРИВЕДЁННЫЕ ЗАТРАТЫ — ЗАМЕНА ПРОВОДА ВЛ 6-10 кВ  |  ИСХОДНЫЕ ДАННЫЕ</t>
  </si>
  <si>
    <t>Заполни синие ячейки (К_уд вводится в руб/км, итог К = К_уд × L считается автоматически). Потери ΔWлин — из расчёта режимов (РАП, Fazonord и др.).</t>
  </si>
  <si>
    <t>ПАРАМЕТР</t>
  </si>
  <si>
    <t>ВАРИАНТ 1
(исходное состояние)</t>
  </si>
  <si>
    <t>ВАРИАНТ 2
(новое сечение)</t>
  </si>
  <si>
    <t>ВАРИАНТ 3
(альт. сечение)</t>
  </si>
  <si>
    <t>Ед. / примечание</t>
  </si>
  <si>
    <t xml:space="preserve">  ОБЪЕКТ И ЛИНИЯ</t>
  </si>
  <si>
    <t>Подстанция / фидер</t>
  </si>
  <si>
    <t>Вороново / Ф-29</t>
  </si>
  <si>
    <t>текст</t>
  </si>
  <si>
    <t>Длина заменяемого участка, км</t>
  </si>
  <si>
    <t>км</t>
  </si>
  <si>
    <t xml:space="preserve">  ПРОВОД</t>
  </si>
  <si>
    <t>Марка / сечение провода</t>
  </si>
  <si>
    <t>АС-35</t>
  </si>
  <si>
    <t>АС-95</t>
  </si>
  <si>
    <t>исходный → новый</t>
  </si>
  <si>
    <t xml:space="preserve">  ПОТЕРИ ЭЛЕКТРОЭНЕРГИИ В ЛИНИИ — ПРЯМОЙ ВВОД ИЗ РАСЧЁТА РЕЖИМОВ</t>
  </si>
  <si>
    <t xml:space="preserve">  ▼  ΔWлин берётся из РАП / Fazonord / таблицы потерь — не считается по формуле</t>
  </si>
  <si>
    <t>Годовые потери в линии  ΔWлин, тыс. кВт·ч/год</t>
  </si>
  <si>
    <t>Из расчёта режимов:
В1 = исходное, В2/В3 = новое сечение</t>
  </si>
  <si>
    <t xml:space="preserve">  ТАРИФ И КАПИТАЛЬНЫЕ ЗАТРАТЫ</t>
  </si>
  <si>
    <t>Тариф э/э  Цэ, руб/кВт·ч</t>
  </si>
  <si>
    <t>руб/кВт·ч</t>
  </si>
  <si>
    <t>Удельные кап. затраты  К_уд, руб/км</t>
  </si>
  <si>
    <t>В1: сущ. линия = 0
В2/В3: стоимость замены на 1 км (провод + опоры + работы)</t>
  </si>
  <si>
    <t>Итого кап. затраты  К = К_уд × L, руб.</t>
  </si>
  <si>
    <t>Расчётная: К_уд × длина</t>
  </si>
  <si>
    <t xml:space="preserve">  НОРМАТИВЫ ЭКСПЛУАТАЦИИ И ЭФФЕКТИВНОСТИ</t>
  </si>
  <si>
    <t>Норма амортизации  αам, %</t>
  </si>
  <si>
    <t>% от К/год. ВЛ 6-10 кВ ≈ 2.5–3.5%</t>
  </si>
  <si>
    <t>Норма ТО и ремонтов  αобс, %</t>
  </si>
  <si>
    <t>% от К/год. Обычно 1.0–2.0%</t>
  </si>
  <si>
    <t>Норм. коэф. эффективности  Ен</t>
  </si>
  <si>
    <t>РБ/СНГ: 0.10–0.15
Тн = 1/Ен = 8.3 лет</t>
  </si>
  <si>
    <t>РАСЧЁТ ПРИВЕДЁННЫХ ЗАТРАТ — ЗАМЕНА ПРОВОДА ВЛ 6-10 кВ</t>
  </si>
  <si>
    <t>З = Ен·К + И  |  И = Иам + Иобс + Ипот  |  Ипот = ΔWлин × Цэ  |  К = К_уд × L</t>
  </si>
  <si>
    <t>Показатель</t>
  </si>
  <si>
    <t>ВАРИАНТ 1
(исходн. провод)</t>
  </si>
  <si>
    <t>ВАРИАНТ 2
(новый провод)</t>
  </si>
  <si>
    <t>Ед. изм.</t>
  </si>
  <si>
    <t>1. ИСХОДНЫЕ ПАРАМЕТРЫ (из листа «1_Исходные данные»)</t>
  </si>
  <si>
    <t>Длина линии L, км</t>
  </si>
  <si>
    <t>Марка провода</t>
  </si>
  <si>
    <t>—</t>
  </si>
  <si>
    <t>Тариф Цэ, руб/кВт·ч</t>
  </si>
  <si>
    <t>Удельные кап. затраты К_уд, руб/км</t>
  </si>
  <si>
    <t>руб/км</t>
  </si>
  <si>
    <t>руб.</t>
  </si>
  <si>
    <t>Норм. коэф. эффективности Ен</t>
  </si>
  <si>
    <t>2. ПОТЕРИ ЭЛЕКТРОЭНЕРГИИ (из расчёта режимов, прямой ввод)</t>
  </si>
  <si>
    <t>ΔWлин, тыс. кВт·ч/год  (введённое значение)</t>
  </si>
  <si>
    <t>тыс.кВт·ч/год</t>
  </si>
  <si>
    <t>ΔWлин, кВт·ч/год  (= тыс.кВт·ч × 1000)</t>
  </si>
  <si>
    <t>кВт·ч/год</t>
  </si>
  <si>
    <t>Снижение потерь  ΔΔWлин = ΔW(В1) − ΔW(Вx), кВт·ч/год</t>
  </si>
  <si>
    <t>3. ЕЖЕГОДНЫЕ ИЗДЕРЖКИ  И = Иам + Иобс + Ипот</t>
  </si>
  <si>
    <t>Амортизация  Иам = αам × К, руб./год</t>
  </si>
  <si>
    <t>руб./год</t>
  </si>
  <si>
    <t>Обслуживание  Иобс = αобс × К, руб./год</t>
  </si>
  <si>
    <t>Стоимость потерь  Ипот = ΔWлин × Цэ, руб./год</t>
  </si>
  <si>
    <t>ИТОГО ИЗДЕРЖКИ  И, руб./год</t>
  </si>
  <si>
    <t>4. ПРИВЕДЁННЫЕ ЗАТРАТЫ  З = Ен × К + И</t>
  </si>
  <si>
    <t>Ен × К, руб./год</t>
  </si>
  <si>
    <t>★ ПРИВЕДЁННЫЕ ЗАТРАТЫ  З = Ен·К + И, руб./год</t>
  </si>
  <si>
    <t>Разность  ΔЗ = З(В1) − З(Вx), руб./год</t>
  </si>
  <si>
    <t>5. СРОК ОКУПАЕМОСТИ</t>
  </si>
  <si>
    <t>Годовая экономия на потерях  Эпот = ΔΔW × Цэ, руб./год</t>
  </si>
  <si>
    <t>★ ПРОСТОЙ СРОК ОКУПАЕМОСТИ  Ток = К / Эпот, лет</t>
  </si>
  <si>
    <t>лет</t>
  </si>
  <si>
    <t>Нормативный срок  Тн = 1/Ен, лет</t>
  </si>
  <si>
    <t>СВОДНАЯ ТАБЛИЦА</t>
  </si>
  <si>
    <t>Итого кап. затраты К = К_уд × L, руб.</t>
  </si>
  <si>
    <t>Потери ΔWлин, тыс. кВт·ч/год</t>
  </si>
  <si>
    <t>Снижение потерь ΔΔW, тыс. кВт·ч/год</t>
  </si>
  <si>
    <t>Стоимость потерь Ипот, руб./год</t>
  </si>
  <si>
    <t>Общие издержки И, руб./год</t>
  </si>
  <si>
    <t>ПРИВЕДЁННЫЕ ЗАТРАТЫ З, руб./год</t>
  </si>
  <si>
    <t>Срок окупаемости Ток, лет</t>
  </si>
  <si>
    <t>РЕЗУЛЬТАТЫ И КОММЕНТАРИИ</t>
  </si>
  <si>
    <t>Данные подтягиваются автоматически из листа «2_Расчёт»</t>
  </si>
  <si>
    <t>ПОТЕРИ ЭЛЕКТРОЭНЕРГИИ</t>
  </si>
  <si>
    <t>Потери В1 (исх.), тыс. кВт·ч/год</t>
  </si>
  <si>
    <t>Потери В2 (новый), тыс. кВт·ч/год</t>
  </si>
  <si>
    <t>Снижение потерь ΔΔW (В2), тыс. кВт·ч/год</t>
  </si>
  <si>
    <t>Экономия на потерях (В2), руб./год</t>
  </si>
  <si>
    <t>ПРИВЕДЁННЫЕ ЗАТРАТЫ И СРОК ОКУПАЕМОСТИ</t>
  </si>
  <si>
    <t>Приведённые затраты В1, руб./год</t>
  </si>
  <si>
    <t>Приведённые затраты В2, руб./год</t>
  </si>
  <si>
    <t>Разность ΔЗ = З₁−З₂, руб./год</t>
  </si>
  <si>
    <t>Срок окупаемости Ток (В2), лет</t>
  </si>
  <si>
    <t>Нормативный срок Тн, лет</t>
  </si>
  <si>
    <t>★ ВЫВОД В2</t>
  </si>
  <si>
    <t>❓  Почему ΔЗ отрицательное?</t>
  </si>
  <si>
    <t>ΔЗ = З₁ − З₂. Если З₂ &gt; З₁ — результат отрицательный.
Это означает: приведённые затраты нового варианта ВЫШЕ из-за больших капвложений.
Это НЕ значит «нет экономии» — потери реально снижаются. Просто инвестиции велики.</t>
  </si>
  <si>
    <t>📊  Что означает Ток &gt; Тн?</t>
  </si>
  <si>
    <t>Ток = К / Эпот — сколько лет потребуется чтобы экономия на потерях «отбила» капвложения.
Тн = 1/Ен = 8.3 года — нормативный предел окупаемости.
Если Ток &gt;&gt; Тн — замена оправдана не экономикой потерь, а другими факторами (см. ниже).</t>
  </si>
  <si>
    <t>✅  Когда замена всё равно обоснована?</t>
  </si>
  <si>
    <t>1. Нормативный износ — провод старше 40 лет, обязательная замена по регламенту.
2. Пропускная способность — ток нагрузки растёт, старое сечение не обеспечивает режим.
3. Надёжность — высокая аварийность, потери от недоотпуска превышают экономию на потерях.
4. Совокупный эффект — добавить стоимость аварийных ремонтов и штрафов за недоотпуск.</t>
  </si>
  <si>
    <t>💡  Как ввести данные по нескольким фидерам?</t>
  </si>
  <si>
    <t>В текущем файле — один фидер. Если нужно сравнить несколько фидеров или сечений
(как в таблице Вороново Ф-29: сечение 70 и 95) — скопируй лист «1_Исходные данные»
и «2_Расчёт» для каждого варианта, или попроси сделать сводную таблицу по вариантам.</t>
  </si>
  <si>
    <t>ВАРИАНТ 3 — РЕЗУЛЬТАТЫ</t>
  </si>
  <si>
    <t>Потери В3, тыс. кВт·ч/год</t>
  </si>
  <si>
    <t>Снижение потерь ΔΔW (В1→В3), тыс. кВт·ч/год</t>
  </si>
  <si>
    <t>Экономия на потерях (В3), руб./год</t>
  </si>
  <si>
    <t>Приведённые затраты В3, руб./год</t>
  </si>
  <si>
    <t>Разность ΔЗ = З₁−З₃, руб./год</t>
  </si>
  <si>
    <t>Срок окупаемости Ток (В3), лет</t>
  </si>
  <si>
    <t>★ ВЫВОД В3</t>
  </si>
  <si>
    <t>АС-70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</si>
</sst>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\ ##0"/>
  </numFmts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595959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0000FF"/>
      <name val="Arial"/>
      <charset val="1"/>
    </font>
    <font>
      <i/>
      <sz val="8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0"/>
      <color rgb="FF7D4E00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  <font>
      <b/>
      <sz val="10"/>
      <color rgb="FF006100"/>
      <name val="Arial"/>
      <charset val="1"/>
    </font>
    <font>
      <b/>
      <sz val="12"/>
      <color rgb="FFFFFFFF"/>
      <name val="Arial"/>
    </font>
    <font>
      <i/>
      <sz val="9"/>
      <color rgb="FF595959"/>
      <name val="Arial"/>
    </font>
    <font>
      <b/>
      <sz val="10"/>
      <color rgb="FF1F4E79"/>
      <name val="Arial"/>
    </font>
    <font>
      <b/>
      <sz val="10"/>
      <color rgb="FF375623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595959"/>
      <name val="Arial"/>
    </font>
    <font>
      <b/>
      <i/>
      <sz val="10"/>
      <color rgb="FF1F4E79"/>
      <name val="Arial"/>
    </font>
    <font>
      <i/>
      <sz val="10"/>
      <color rgb="FF595959"/>
      <name val="Arial"/>
    </font>
    <font>
      <b/>
      <sz val="10"/>
      <color rgb="FF17375D"/>
      <name val="Arial"/>
    </font>
    <font>
      <b/>
      <sz val="10"/>
      <color rgb="FF7F3F00"/>
      <name val="Arial"/>
    </font>
    <font>
      <b/>
      <i/>
      <sz val="9"/>
      <color rgb="FF5B0082"/>
      <name val="Arial"/>
    </font>
    <font>
      <i/>
      <sz val="10"/>
      <color rgb="FF404040"/>
      <name val="Arial"/>
    </font>
    <font>
      <sz val="10"/>
      <color rgb="FF40404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7F7"/>
        <bgColor rgb="FFEEF5FF"/>
      </patternFill>
    </fill>
    <fill>
      <patternFill patternType="solid">
        <fgColor rgb="FFBDD7EE"/>
        <bgColor rgb="FFE2EFDA"/>
      </patternFill>
    </fill>
    <fill>
      <patternFill patternType="solid">
        <fgColor rgb="FFE8F4FD"/>
        <bgColor rgb="FFEEF5FF"/>
      </patternFill>
    </fill>
    <fill>
      <patternFill patternType="solid">
        <fgColor rgb="FFFFF3E0"/>
        <bgColor rgb="FFFFF0EE"/>
      </patternFill>
    </fill>
    <fill>
      <patternFill patternType="solid">
        <fgColor rgb="FFFFFFFF"/>
        <bgColor rgb="FFF7F7F7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8F4FD"/>
      </patternFill>
    </fill>
    <fill>
      <patternFill patternType="solid">
        <fgColor rgb="FFFFF0EE"/>
        <bgColor rgb="FFFFF3E0"/>
      </patternFill>
    </fill>
    <fill>
      <patternFill patternType="solid">
        <fgColor rgb="FFEEF5FF"/>
        <bgColor rgb="FFE8F4FD"/>
      </patternFill>
    </fill>
    <fill>
      <patternFill patternType="solid">
        <fgColor rgb="FFF7F7F7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D6DCE4"/>
      </patternFill>
    </fill>
    <fill>
      <patternFill patternType="solid">
        <fgColor rgb="FFD6E4F0"/>
      </patternFill>
    </fill>
    <fill>
      <patternFill patternType="solid">
        <fgColor rgb="FFFDE9D9"/>
      </patternFill>
    </fill>
    <fill>
      <patternFill patternType="solid">
        <fgColor rgb="FFFFFFFF"/>
      </patternFill>
    </fill>
    <fill>
      <patternFill patternType="solid">
        <fgColor rgb="FFFFFACD"/>
      </patternFill>
    </fill>
    <fill>
      <patternFill patternType="solid">
        <fgColor rgb="FFF0EBFF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/>
      <diagonal/>
    </border>
    <border>
      <left/>
      <right/>
      <top style="thin">
        <color rgb="FFB8B8B8"/>
      </top>
      <bottom style="thin">
        <color rgb="FFB8B8B8"/>
      </bottom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72">
    <xf numFmtId="0" fontId="0" fillId="0" borderId="0" xfId="0" applyAlignment="1"/>
    <xf numFmtId="0" fontId="0" fillId="0" borderId="0" xfId="0" applyAlignment="1"/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top" wrapText="1"/>
    </xf>
    <xf numFmtId="0" fontId="16" fillId="16" borderId="2" xfId="0" applyFont="1" applyFill="1" applyBorder="1" applyAlignment="1">
      <alignment horizontal="center" vertical="center" wrapText="1"/>
    </xf>
    <xf numFmtId="0" fontId="23" fillId="17" borderId="2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left" vertical="center"/>
    </xf>
    <xf numFmtId="0" fontId="19" fillId="2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left" vertical="center"/>
    </xf>
    <xf numFmtId="164" fontId="19" fillId="20" borderId="2" xfId="0" applyNumberFormat="1" applyFont="1" applyFill="1" applyBorder="1" applyAlignment="1">
      <alignment horizontal="center" vertical="center"/>
    </xf>
    <xf numFmtId="165" fontId="19" fillId="20" borderId="2" xfId="0" applyNumberFormat="1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left" vertical="center" wrapText="1"/>
    </xf>
    <xf numFmtId="166" fontId="19" fillId="20" borderId="2" xfId="0" applyNumberFormat="1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left" vertical="center"/>
    </xf>
    <xf numFmtId="166" fontId="21" fillId="23" borderId="2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left" vertical="center"/>
    </xf>
    <xf numFmtId="2" fontId="19" fillId="20" borderId="2" xfId="0" applyNumberFormat="1" applyFont="1" applyFill="1" applyBorder="1" applyAlignment="1">
      <alignment horizontal="center" vertical="center"/>
    </xf>
    <xf numFmtId="0" fontId="0" fillId="19" borderId="3" xfId="0" applyFill="1" applyBorder="1"/>
    <xf numFmtId="0" fontId="3" fillId="19" borderId="3" xfId="0" applyFont="1" applyFill="1" applyBorder="1" applyAlignment="1">
      <alignment horizontal="left" vertical="center"/>
    </xf>
    <xf numFmtId="164" fontId="27" fillId="22" borderId="2" xfId="0" applyNumberFormat="1" applyFont="1" applyFill="1" applyBorder="1" applyAlignment="1">
      <alignment horizontal="right" vertical="center"/>
    </xf>
    <xf numFmtId="49" fontId="27" fillId="22" borderId="2" xfId="0" applyNumberFormat="1" applyFont="1" applyFill="1" applyBorder="1" applyAlignment="1">
      <alignment horizontal="right" vertical="center"/>
    </xf>
    <xf numFmtId="165" fontId="27" fillId="22" borderId="2" xfId="0" applyNumberFormat="1" applyFont="1" applyFill="1" applyBorder="1" applyAlignment="1">
      <alignment horizontal="right" vertical="center"/>
    </xf>
    <xf numFmtId="166" fontId="27" fillId="22" borderId="2" xfId="0" applyNumberFormat="1" applyFont="1" applyFill="1" applyBorder="1" applyAlignment="1">
      <alignment horizontal="right" vertical="center"/>
    </xf>
    <xf numFmtId="0" fontId="21" fillId="23" borderId="2" xfId="0" applyFont="1" applyFill="1" applyBorder="1" applyAlignment="1">
      <alignment horizontal="left" vertical="center"/>
    </xf>
    <xf numFmtId="166" fontId="16" fillId="23" borderId="2" xfId="0" applyNumberFormat="1" applyFont="1" applyFill="1" applyBorder="1" applyAlignment="1">
      <alignment horizontal="right" vertical="center"/>
    </xf>
    <xf numFmtId="2" fontId="27" fillId="22" borderId="2" xfId="0" applyNumberFormat="1" applyFont="1" applyFill="1" applyBorder="1" applyAlignment="1">
      <alignment horizontal="right" vertical="center"/>
    </xf>
    <xf numFmtId="0" fontId="19" fillId="19" borderId="2" xfId="0" applyFont="1" applyFill="1" applyBorder="1" applyAlignment="1">
      <alignment horizontal="left" vertical="center"/>
    </xf>
    <xf numFmtId="0" fontId="16" fillId="23" borderId="2" xfId="0" applyFont="1" applyFill="1" applyBorder="1" applyAlignment="1">
      <alignment horizontal="left" vertical="center"/>
    </xf>
    <xf numFmtId="164" fontId="16" fillId="23" borderId="2" xfId="0" applyNumberFormat="1" applyFont="1" applyFill="1" applyBorder="1" applyAlignment="1">
      <alignment horizontal="right" vertical="center"/>
    </xf>
    <xf numFmtId="0" fontId="27" fillId="22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6" fillId="16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left" vertical="center" wrapText="1"/>
    </xf>
    <xf numFmtId="0" fontId="25" fillId="21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0E6FF"/>
      <rgbColor rgb="FF808080"/>
      <rgbColor rgb="FF9999FF"/>
      <rgbColor rgb="FF7030A0"/>
      <rgbColor rgb="FFFFF2CC"/>
      <rgbColor rgb="FFE8F4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F"/>
      <rgbColor rgb="FFE2EFDA"/>
      <rgbColor rgb="FFFFF3E0"/>
      <rgbColor rgb="FFF7F7F7"/>
      <rgbColor rgb="FFFFF0EE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7D4E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K12" sqref="K12"/>
    </sheetView>
  </sheetViews>
  <sheetFormatPr defaultColWidth="8.6640625" defaultRowHeight="14.4" x14ac:dyDescent="0.3"/>
  <cols>
    <col min="1" max="1" width="2" style="1" customWidth="1"/>
    <col min="2" max="2" width="42" style="1" customWidth="1"/>
    <col min="3" max="3" width="16" style="1" customWidth="1"/>
    <col min="4" max="4" width="16" style="2" customWidth="1"/>
    <col min="5" max="5" width="16" style="1" customWidth="1"/>
    <col min="6" max="6" width="32" style="2" customWidth="1"/>
  </cols>
  <sheetData>
    <row r="1" spans="1:6" ht="22.05" customHeight="1" x14ac:dyDescent="0.3">
      <c r="A1" s="65" t="s">
        <v>0</v>
      </c>
      <c r="B1" s="66"/>
      <c r="C1" s="66"/>
      <c r="D1" s="66"/>
      <c r="E1" s="66"/>
      <c r="F1" s="67"/>
    </row>
    <row r="2" spans="1:6" ht="28.05" customHeight="1" x14ac:dyDescent="0.3">
      <c r="A2" s="69" t="s">
        <v>1</v>
      </c>
      <c r="B2" s="66"/>
      <c r="C2" s="66"/>
      <c r="D2" s="66"/>
      <c r="E2" s="66"/>
      <c r="F2" s="67"/>
    </row>
    <row r="3" spans="1:6" ht="37.950000000000003" customHeight="1" x14ac:dyDescent="0.3">
      <c r="A3" s="3"/>
      <c r="B3" s="37" t="s">
        <v>2</v>
      </c>
      <c r="C3" s="38" t="s">
        <v>3</v>
      </c>
      <c r="D3" s="39" t="s">
        <v>4</v>
      </c>
      <c r="E3" s="40" t="s">
        <v>5</v>
      </c>
      <c r="F3" s="37" t="s">
        <v>6</v>
      </c>
    </row>
    <row r="4" spans="1:6" ht="15.75" customHeight="1" x14ac:dyDescent="0.3">
      <c r="A4" s="68" t="s">
        <v>7</v>
      </c>
      <c r="B4" s="66"/>
      <c r="C4" s="66"/>
      <c r="D4" s="66"/>
      <c r="E4" s="66"/>
      <c r="F4" s="67"/>
    </row>
    <row r="5" spans="1:6" ht="19.5" customHeight="1" x14ac:dyDescent="0.3">
      <c r="A5" s="4"/>
      <c r="B5" s="41" t="s">
        <v>8</v>
      </c>
      <c r="C5" s="42" t="s">
        <v>9</v>
      </c>
      <c r="D5" s="42" t="s">
        <v>9</v>
      </c>
      <c r="E5" s="42" t="s">
        <v>9</v>
      </c>
      <c r="F5" s="43" t="s">
        <v>10</v>
      </c>
    </row>
    <row r="6" spans="1:6" ht="19.5" customHeight="1" x14ac:dyDescent="0.3">
      <c r="A6" s="4"/>
      <c r="B6" s="41" t="s">
        <v>11</v>
      </c>
      <c r="C6" s="44">
        <v>10.8</v>
      </c>
      <c r="D6" s="44">
        <v>10.8</v>
      </c>
      <c r="E6" s="44">
        <v>10.8</v>
      </c>
      <c r="F6" s="43" t="s">
        <v>12</v>
      </c>
    </row>
    <row r="7" spans="1:6" ht="15.75" customHeight="1" x14ac:dyDescent="0.3">
      <c r="A7" s="68" t="s">
        <v>13</v>
      </c>
      <c r="B7" s="66"/>
      <c r="C7" s="66"/>
      <c r="D7" s="66"/>
      <c r="E7" s="66"/>
      <c r="F7" s="67"/>
    </row>
    <row r="8" spans="1:6" x14ac:dyDescent="0.3">
      <c r="A8" s="4"/>
      <c r="B8" s="41" t="s">
        <v>14</v>
      </c>
      <c r="C8" s="42" t="s">
        <v>15</v>
      </c>
      <c r="D8" s="42" t="s">
        <v>110</v>
      </c>
      <c r="E8" s="42" t="s">
        <v>16</v>
      </c>
      <c r="F8" s="43" t="s">
        <v>17</v>
      </c>
    </row>
    <row r="9" spans="1:6" ht="19.5" customHeight="1" x14ac:dyDescent="0.3">
      <c r="A9" s="5"/>
      <c r="B9" s="6"/>
      <c r="C9" s="7"/>
      <c r="D9" s="7"/>
      <c r="F9" s="8"/>
    </row>
    <row r="10" spans="1:6" ht="15.75" customHeight="1" x14ac:dyDescent="0.3">
      <c r="A10" s="68" t="s">
        <v>18</v>
      </c>
      <c r="B10" s="66"/>
      <c r="C10" s="66"/>
      <c r="D10" s="66"/>
      <c r="E10" s="66"/>
      <c r="F10" s="67"/>
    </row>
    <row r="11" spans="1:6" ht="19.95" customHeight="1" x14ac:dyDescent="0.3">
      <c r="A11" s="70" t="s">
        <v>19</v>
      </c>
      <c r="B11" s="66"/>
      <c r="C11" s="66"/>
      <c r="D11" s="66"/>
      <c r="E11" s="66"/>
      <c r="F11" s="67"/>
    </row>
    <row r="12" spans="1:6" ht="39.6" x14ac:dyDescent="0.3">
      <c r="A12" s="4"/>
      <c r="B12" s="41" t="s">
        <v>20</v>
      </c>
      <c r="C12" s="45">
        <v>129.709</v>
      </c>
      <c r="D12" s="45">
        <v>86.581000000000003</v>
      </c>
      <c r="E12" s="45">
        <v>66.426000000000002</v>
      </c>
      <c r="F12" s="46" t="s">
        <v>21</v>
      </c>
    </row>
    <row r="13" spans="1:6" ht="19.5" customHeight="1" x14ac:dyDescent="0.3">
      <c r="A13" s="5"/>
      <c r="B13" s="6"/>
      <c r="C13" s="7"/>
      <c r="D13" s="7"/>
      <c r="F13" s="8"/>
    </row>
    <row r="14" spans="1:6" ht="15.75" customHeight="1" x14ac:dyDescent="0.3">
      <c r="A14" s="68" t="s">
        <v>22</v>
      </c>
      <c r="B14" s="66"/>
      <c r="C14" s="66"/>
      <c r="D14" s="66"/>
      <c r="E14" s="66"/>
      <c r="F14" s="67"/>
    </row>
    <row r="15" spans="1:6" ht="19.5" customHeight="1" x14ac:dyDescent="0.3">
      <c r="A15" s="4"/>
      <c r="B15" s="41" t="s">
        <v>23</v>
      </c>
      <c r="C15" s="45">
        <v>0.30370000000000003</v>
      </c>
      <c r="D15" s="45">
        <v>0.30370000000000003</v>
      </c>
      <c r="E15" s="45">
        <v>0.30370000000000003</v>
      </c>
      <c r="F15" s="43" t="s">
        <v>24</v>
      </c>
    </row>
    <row r="16" spans="1:6" ht="39.6" x14ac:dyDescent="0.3">
      <c r="A16" s="4"/>
      <c r="B16" s="41" t="s">
        <v>25</v>
      </c>
      <c r="C16" s="47">
        <v>0</v>
      </c>
      <c r="D16" s="47">
        <v>131000</v>
      </c>
      <c r="E16" s="47">
        <v>138000</v>
      </c>
      <c r="F16" s="46" t="s">
        <v>26</v>
      </c>
    </row>
    <row r="17" spans="1:6" ht="51.6" customHeight="1" x14ac:dyDescent="0.3">
      <c r="B17" s="48" t="s">
        <v>27</v>
      </c>
      <c r="C17" s="49">
        <f>C16*C6</f>
        <v>0</v>
      </c>
      <c r="D17" s="49">
        <f>D16*D6</f>
        <v>1414800</v>
      </c>
      <c r="E17" s="49">
        <f>E16*E6</f>
        <v>1490400</v>
      </c>
      <c r="F17" s="50" t="s">
        <v>28</v>
      </c>
    </row>
    <row r="18" spans="1:6" ht="19.5" customHeight="1" x14ac:dyDescent="0.3">
      <c r="A18" s="68" t="s">
        <v>29</v>
      </c>
      <c r="B18" s="66"/>
      <c r="C18" s="66"/>
      <c r="D18" s="66"/>
      <c r="E18" s="66"/>
      <c r="F18" s="67"/>
    </row>
    <row r="19" spans="1:6" ht="19.5" customHeight="1" x14ac:dyDescent="0.3">
      <c r="A19" s="4"/>
      <c r="B19" s="41" t="s">
        <v>30</v>
      </c>
      <c r="C19" s="44">
        <v>2.8</v>
      </c>
      <c r="D19" s="44">
        <v>2.8</v>
      </c>
      <c r="E19" s="44">
        <v>2.8</v>
      </c>
      <c r="F19" s="46" t="s">
        <v>31</v>
      </c>
    </row>
    <row r="20" spans="1:6" ht="19.5" customHeight="1" x14ac:dyDescent="0.3">
      <c r="A20" s="4"/>
      <c r="B20" s="41" t="s">
        <v>32</v>
      </c>
      <c r="C20" s="44">
        <v>1.5</v>
      </c>
      <c r="D20" s="44">
        <v>1.5</v>
      </c>
      <c r="E20" s="44">
        <v>1.5</v>
      </c>
      <c r="F20" s="46" t="s">
        <v>33</v>
      </c>
    </row>
    <row r="21" spans="1:6" ht="28.05" customHeight="1" x14ac:dyDescent="0.3">
      <c r="A21" s="4"/>
      <c r="B21" s="41" t="s">
        <v>34</v>
      </c>
      <c r="C21" s="51">
        <v>0.12</v>
      </c>
      <c r="D21" s="51">
        <v>0.12</v>
      </c>
      <c r="E21" s="51">
        <v>0.12</v>
      </c>
      <c r="F21" s="46" t="s">
        <v>35</v>
      </c>
    </row>
  </sheetData>
  <mergeCells count="8">
    <mergeCell ref="A1:F1"/>
    <mergeCell ref="A18:F18"/>
    <mergeCell ref="A4:F4"/>
    <mergeCell ref="A7:F7"/>
    <mergeCell ref="A2:F2"/>
    <mergeCell ref="A11:F11"/>
    <mergeCell ref="A10:F10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tabSelected="1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defaultColWidth="8.6640625" defaultRowHeight="14.4" x14ac:dyDescent="0.3"/>
  <cols>
    <col min="1" max="1" width="2" style="1" customWidth="1"/>
    <col min="2" max="2" width="58.33203125" style="1" customWidth="1"/>
    <col min="3" max="3" width="27.21875" style="1" customWidth="1"/>
    <col min="4" max="4" width="20.44140625" style="2" customWidth="1"/>
    <col min="5" max="5" width="24" style="1" customWidth="1"/>
    <col min="6" max="6" width="18.6640625" style="1" customWidth="1"/>
    <col min="7" max="7" width="5.6640625" style="2" hidden="1" customWidth="1"/>
  </cols>
  <sheetData>
    <row r="1" spans="1:7" ht="22.05" customHeight="1" x14ac:dyDescent="0.3">
      <c r="A1" s="65" t="s">
        <v>36</v>
      </c>
      <c r="B1" s="66"/>
      <c r="C1" s="66"/>
      <c r="D1" s="66"/>
      <c r="E1" s="66"/>
      <c r="F1" s="66"/>
      <c r="G1" s="67"/>
    </row>
    <row r="2" spans="1:7" ht="18" customHeight="1" x14ac:dyDescent="0.3">
      <c r="A2" s="71" t="s">
        <v>37</v>
      </c>
      <c r="B2" s="66"/>
      <c r="C2" s="66"/>
      <c r="D2" s="66"/>
      <c r="E2" s="66"/>
      <c r="F2" s="66"/>
      <c r="G2" s="67"/>
    </row>
    <row r="3" spans="1:7" ht="37.950000000000003" customHeight="1" x14ac:dyDescent="0.3">
      <c r="A3" s="3"/>
      <c r="B3" s="37" t="s">
        <v>38</v>
      </c>
      <c r="C3" s="38" t="s">
        <v>39</v>
      </c>
      <c r="D3" s="39" t="s">
        <v>40</v>
      </c>
      <c r="E3" s="40" t="s">
        <v>5</v>
      </c>
      <c r="F3" s="37" t="s">
        <v>41</v>
      </c>
      <c r="G3" s="53"/>
    </row>
    <row r="4" spans="1:7" ht="19.5" customHeight="1" x14ac:dyDescent="0.3">
      <c r="A4" s="68" t="s">
        <v>42</v>
      </c>
      <c r="B4" s="66"/>
      <c r="C4" s="66"/>
      <c r="D4" s="66"/>
      <c r="E4" s="66"/>
      <c r="F4" s="66"/>
      <c r="G4" s="67"/>
    </row>
    <row r="5" spans="1:7" ht="19.5" customHeight="1" x14ac:dyDescent="0.3">
      <c r="A5" s="4"/>
      <c r="B5" s="41" t="s">
        <v>43</v>
      </c>
      <c r="C5" s="54">
        <f>'1_Исходные данные'!C6</f>
        <v>10.8</v>
      </c>
      <c r="D5" s="54">
        <f>'1_Исходные данные'!D6</f>
        <v>10.8</v>
      </c>
      <c r="E5" s="54">
        <f>'1_Исходные данные'!E6</f>
        <v>10.8</v>
      </c>
      <c r="F5" s="43" t="s">
        <v>12</v>
      </c>
      <c r="G5" s="53"/>
    </row>
    <row r="6" spans="1:7" ht="19.5" customHeight="1" x14ac:dyDescent="0.3">
      <c r="A6" s="4"/>
      <c r="B6" s="41" t="s">
        <v>44</v>
      </c>
      <c r="C6" s="55" t="str">
        <f>'1_Исходные данные'!C8</f>
        <v>АС-35</v>
      </c>
      <c r="D6" s="55" t="str">
        <f>'1_Исходные данные'!D8</f>
        <v>АС-70</v>
      </c>
      <c r="E6" s="55" t="str">
        <f>'1_Исходные данные'!E8</f>
        <v>АС-95</v>
      </c>
      <c r="F6" s="43" t="s">
        <v>45</v>
      </c>
      <c r="G6" s="53"/>
    </row>
    <row r="7" spans="1:7" ht="19.5" customHeight="1" x14ac:dyDescent="0.3">
      <c r="A7" s="4"/>
      <c r="B7" s="41" t="s">
        <v>46</v>
      </c>
      <c r="C7" s="56">
        <f>'1_Исходные данные'!C15</f>
        <v>0.30370000000000003</v>
      </c>
      <c r="D7" s="56">
        <f>'1_Исходные данные'!D15</f>
        <v>0.30370000000000003</v>
      </c>
      <c r="E7" s="56">
        <f>'1_Исходные данные'!E15</f>
        <v>0.30370000000000003</v>
      </c>
      <c r="F7" s="43" t="s">
        <v>24</v>
      </c>
      <c r="G7" s="53"/>
    </row>
    <row r="8" spans="1:7" ht="19.5" customHeight="1" x14ac:dyDescent="0.3">
      <c r="A8" s="4"/>
      <c r="B8" s="41" t="s">
        <v>47</v>
      </c>
      <c r="C8" s="57">
        <f>'1_Исходные данные'!C16</f>
        <v>0</v>
      </c>
      <c r="D8" s="57">
        <f>'1_Исходные данные'!D16</f>
        <v>131000</v>
      </c>
      <c r="E8" s="57">
        <f>'1_Исходные данные'!E16</f>
        <v>138000</v>
      </c>
      <c r="F8" s="43" t="s">
        <v>48</v>
      </c>
      <c r="G8" s="53"/>
    </row>
    <row r="9" spans="1:7" ht="19.5" customHeight="1" x14ac:dyDescent="0.3">
      <c r="B9" s="58" t="s">
        <v>27</v>
      </c>
      <c r="C9" s="59">
        <f>C8*C5</f>
        <v>0</v>
      </c>
      <c r="D9" s="59">
        <f>D8*D5</f>
        <v>1414800</v>
      </c>
      <c r="E9" s="59">
        <f>E8*E5</f>
        <v>1490400</v>
      </c>
      <c r="F9" s="43" t="s">
        <v>49</v>
      </c>
      <c r="G9" s="52"/>
    </row>
    <row r="10" spans="1:7" ht="19.5" customHeight="1" x14ac:dyDescent="0.3">
      <c r="A10" s="4"/>
      <c r="B10" s="41" t="s">
        <v>50</v>
      </c>
      <c r="C10" s="60">
        <f>'1_Исходные данные'!C21</f>
        <v>0.12</v>
      </c>
      <c r="D10" s="60">
        <f>'1_Исходные данные'!D21</f>
        <v>0.12</v>
      </c>
      <c r="E10" s="60">
        <f>'1_Исходные данные'!E21</f>
        <v>0.12</v>
      </c>
      <c r="F10" s="43" t="s">
        <v>45</v>
      </c>
      <c r="G10" s="53"/>
    </row>
    <row r="11" spans="1:7" ht="19.5" customHeight="1" x14ac:dyDescent="0.3">
      <c r="A11" s="68" t="s">
        <v>51</v>
      </c>
      <c r="B11" s="66"/>
      <c r="C11" s="66"/>
      <c r="D11" s="66"/>
      <c r="E11" s="66"/>
      <c r="F11" s="66"/>
      <c r="G11" s="67"/>
    </row>
    <row r="12" spans="1:7" ht="19.5" customHeight="1" x14ac:dyDescent="0.3">
      <c r="A12" s="4"/>
      <c r="B12" s="41" t="s">
        <v>52</v>
      </c>
      <c r="C12" s="56">
        <f>'1_Исходные данные'!C12</f>
        <v>129.709</v>
      </c>
      <c r="D12" s="56">
        <f>'1_Исходные данные'!D12</f>
        <v>86.581000000000003</v>
      </c>
      <c r="E12" s="56">
        <f>'1_Исходные данные'!E12</f>
        <v>66.426000000000002</v>
      </c>
      <c r="F12" s="43" t="s">
        <v>53</v>
      </c>
      <c r="G12" s="53"/>
    </row>
    <row r="13" spans="1:7" ht="19.5" customHeight="1" x14ac:dyDescent="0.3">
      <c r="A13" s="4"/>
      <c r="B13" s="41" t="s">
        <v>54</v>
      </c>
      <c r="C13" s="57">
        <f>C12*1000</f>
        <v>129709</v>
      </c>
      <c r="D13" s="57">
        <f>D12*1000</f>
        <v>86581</v>
      </c>
      <c r="E13" s="57">
        <f>E12*1000</f>
        <v>66426</v>
      </c>
      <c r="F13" s="43" t="s">
        <v>55</v>
      </c>
      <c r="G13" s="53"/>
    </row>
    <row r="14" spans="1:7" ht="19.5" customHeight="1" x14ac:dyDescent="0.3">
      <c r="A14" s="4"/>
      <c r="B14" s="41" t="s">
        <v>56</v>
      </c>
      <c r="C14" s="57" t="s">
        <v>45</v>
      </c>
      <c r="D14" s="57">
        <f>C13-D13</f>
        <v>43128</v>
      </c>
      <c r="E14" s="57">
        <f>C13-E13</f>
        <v>63283</v>
      </c>
      <c r="F14" s="43" t="s">
        <v>55</v>
      </c>
      <c r="G14" s="53"/>
    </row>
    <row r="15" spans="1:7" ht="19.5" customHeight="1" x14ac:dyDescent="0.3">
      <c r="A15" s="68" t="s">
        <v>57</v>
      </c>
      <c r="B15" s="66"/>
      <c r="C15" s="66"/>
      <c r="D15" s="66"/>
      <c r="E15" s="66"/>
      <c r="F15" s="66"/>
      <c r="G15" s="67"/>
    </row>
    <row r="16" spans="1:7" ht="19.5" customHeight="1" x14ac:dyDescent="0.3">
      <c r="A16" s="4"/>
      <c r="B16" s="41" t="s">
        <v>58</v>
      </c>
      <c r="C16" s="57">
        <f>C9*'1_Исходные данные'!C19/100</f>
        <v>0</v>
      </c>
      <c r="D16" s="57">
        <f>D9*'1_Исходные данные'!D19/100</f>
        <v>39614.399999999994</v>
      </c>
      <c r="E16" s="57">
        <f>E9*'1_Исходные данные'!E19/100</f>
        <v>41731.199999999997</v>
      </c>
      <c r="F16" s="43" t="s">
        <v>59</v>
      </c>
      <c r="G16" s="53"/>
    </row>
    <row r="17" spans="1:7" ht="19.5" customHeight="1" x14ac:dyDescent="0.3">
      <c r="A17" s="4"/>
      <c r="B17" s="41" t="s">
        <v>60</v>
      </c>
      <c r="C17" s="57">
        <f>C9*'1_Исходные данные'!C20/100</f>
        <v>0</v>
      </c>
      <c r="D17" s="57">
        <f>D9*'1_Исходные данные'!D20/100</f>
        <v>21222</v>
      </c>
      <c r="E17" s="57">
        <f>E9*'1_Исходные данные'!E20/100</f>
        <v>22356</v>
      </c>
      <c r="F17" s="43" t="s">
        <v>59</v>
      </c>
      <c r="G17" s="53"/>
    </row>
    <row r="18" spans="1:7" ht="19.5" customHeight="1" x14ac:dyDescent="0.3">
      <c r="A18" s="4"/>
      <c r="B18" s="41" t="s">
        <v>61</v>
      </c>
      <c r="C18" s="57">
        <f>C13*C7</f>
        <v>39392.623300000007</v>
      </c>
      <c r="D18" s="57">
        <f>D13*D7</f>
        <v>26294.649700000002</v>
      </c>
      <c r="E18" s="57">
        <f>E13*E7</f>
        <v>20173.576200000003</v>
      </c>
      <c r="F18" s="43" t="s">
        <v>59</v>
      </c>
      <c r="G18" s="53"/>
    </row>
    <row r="19" spans="1:7" ht="19.5" customHeight="1" x14ac:dyDescent="0.3">
      <c r="A19" s="4"/>
      <c r="B19" s="61" t="s">
        <v>62</v>
      </c>
      <c r="C19" s="59">
        <f>C16+C17+C18</f>
        <v>39392.623300000007</v>
      </c>
      <c r="D19" s="59">
        <f>D16+D17+D18</f>
        <v>87131.049700000003</v>
      </c>
      <c r="E19" s="59">
        <f>E16+E17+E18</f>
        <v>84260.776199999993</v>
      </c>
      <c r="F19" s="43" t="s">
        <v>59</v>
      </c>
      <c r="G19" s="53"/>
    </row>
    <row r="20" spans="1:7" ht="19.5" customHeight="1" x14ac:dyDescent="0.3">
      <c r="A20" s="68" t="s">
        <v>63</v>
      </c>
      <c r="B20" s="66"/>
      <c r="C20" s="66"/>
      <c r="D20" s="66"/>
      <c r="E20" s="66"/>
      <c r="F20" s="66"/>
      <c r="G20" s="67"/>
    </row>
    <row r="21" spans="1:7" ht="19.5" customHeight="1" x14ac:dyDescent="0.3">
      <c r="A21" s="4"/>
      <c r="B21" s="41" t="s">
        <v>64</v>
      </c>
      <c r="C21" s="57">
        <f>C10*C9</f>
        <v>0</v>
      </c>
      <c r="D21" s="57">
        <f>D10*D9</f>
        <v>169776</v>
      </c>
      <c r="E21" s="57">
        <f>E10*E9</f>
        <v>178848</v>
      </c>
      <c r="F21" s="43" t="s">
        <v>59</v>
      </c>
      <c r="G21" s="53"/>
    </row>
    <row r="22" spans="1:7" ht="19.5" customHeight="1" x14ac:dyDescent="0.3">
      <c r="A22" s="4"/>
      <c r="B22" s="62" t="s">
        <v>65</v>
      </c>
      <c r="C22" s="59">
        <f>C21+C19</f>
        <v>39392.623300000007</v>
      </c>
      <c r="D22" s="59">
        <f>D21+D19</f>
        <v>256907.0497</v>
      </c>
      <c r="E22" s="59">
        <f>E21+E19</f>
        <v>263108.77619999996</v>
      </c>
      <c r="F22" s="43" t="s">
        <v>59</v>
      </c>
      <c r="G22" s="53"/>
    </row>
    <row r="23" spans="1:7" ht="19.5" customHeight="1" x14ac:dyDescent="0.3">
      <c r="A23" s="4"/>
      <c r="B23" s="41" t="s">
        <v>66</v>
      </c>
      <c r="C23" s="57" t="s">
        <v>45</v>
      </c>
      <c r="D23" s="57">
        <f>C22-D22</f>
        <v>-217514.4264</v>
      </c>
      <c r="E23" s="57">
        <f>C22-E22</f>
        <v>-223716.15289999996</v>
      </c>
      <c r="F23" s="43" t="s">
        <v>59</v>
      </c>
      <c r="G23" s="53"/>
    </row>
    <row r="24" spans="1:7" ht="19.5" customHeight="1" x14ac:dyDescent="0.3">
      <c r="A24" s="68" t="s">
        <v>67</v>
      </c>
      <c r="B24" s="66"/>
      <c r="C24" s="66"/>
      <c r="D24" s="66"/>
      <c r="E24" s="66"/>
      <c r="F24" s="66"/>
      <c r="G24" s="67"/>
    </row>
    <row r="25" spans="1:7" x14ac:dyDescent="0.3">
      <c r="A25" s="4"/>
      <c r="B25" s="41" t="s">
        <v>68</v>
      </c>
      <c r="C25" s="57" t="s">
        <v>45</v>
      </c>
      <c r="D25" s="57">
        <f>D14*D7</f>
        <v>13097.973600000001</v>
      </c>
      <c r="E25" s="57">
        <f>E14*E7</f>
        <v>19219.047100000003</v>
      </c>
      <c r="F25" s="43" t="s">
        <v>59</v>
      </c>
      <c r="G25" s="53"/>
    </row>
    <row r="26" spans="1:7" x14ac:dyDescent="0.3">
      <c r="A26" s="4"/>
      <c r="B26" s="62" t="s">
        <v>69</v>
      </c>
      <c r="C26" s="63" t="s">
        <v>45</v>
      </c>
      <c r="D26" s="63">
        <f>IF(D25&gt;0,D9/D25,0)</f>
        <v>108.01670878310519</v>
      </c>
      <c r="E26" s="63">
        <f>IF(E25&gt;0,E9/E25,0)</f>
        <v>77.54806948779472</v>
      </c>
      <c r="F26" s="43" t="s">
        <v>70</v>
      </c>
      <c r="G26" s="53"/>
    </row>
    <row r="27" spans="1:7" ht="19.5" customHeight="1" x14ac:dyDescent="0.3">
      <c r="A27" s="4"/>
      <c r="B27" s="41" t="s">
        <v>71</v>
      </c>
      <c r="C27" s="54">
        <f>1/C10</f>
        <v>8.3333333333333339</v>
      </c>
      <c r="D27" s="54">
        <f>1/D10</f>
        <v>8.3333333333333339</v>
      </c>
      <c r="E27" s="54">
        <f>1/E10</f>
        <v>8.3333333333333339</v>
      </c>
      <c r="F27" s="43" t="s">
        <v>70</v>
      </c>
      <c r="G27" s="53"/>
    </row>
    <row r="28" spans="1:7" ht="21.75" customHeight="1" x14ac:dyDescent="0.3">
      <c r="G28" s="52"/>
    </row>
    <row r="29" spans="1:7" ht="19.5" customHeight="1" x14ac:dyDescent="0.3">
      <c r="A29" s="68" t="s">
        <v>72</v>
      </c>
      <c r="B29" s="66"/>
      <c r="C29" s="66"/>
      <c r="D29" s="66"/>
      <c r="E29" s="66"/>
      <c r="F29" s="66"/>
      <c r="G29" s="67"/>
    </row>
    <row r="30" spans="1:7" ht="19.5" customHeight="1" x14ac:dyDescent="0.3">
      <c r="A30" s="4"/>
      <c r="B30" s="41" t="s">
        <v>47</v>
      </c>
      <c r="C30" s="57">
        <f t="shared" ref="C30:E31" si="0">C8</f>
        <v>0</v>
      </c>
      <c r="D30" s="57">
        <f t="shared" si="0"/>
        <v>131000</v>
      </c>
      <c r="E30" s="57">
        <f t="shared" si="0"/>
        <v>138000</v>
      </c>
      <c r="F30" s="43" t="s">
        <v>48</v>
      </c>
      <c r="G30" s="53"/>
    </row>
    <row r="31" spans="1:7" ht="19.5" customHeight="1" x14ac:dyDescent="0.3">
      <c r="A31" s="4"/>
      <c r="B31" s="41" t="s">
        <v>73</v>
      </c>
      <c r="C31" s="57">
        <f t="shared" si="0"/>
        <v>0</v>
      </c>
      <c r="D31" s="57">
        <f t="shared" si="0"/>
        <v>1414800</v>
      </c>
      <c r="E31" s="57">
        <f t="shared" si="0"/>
        <v>1490400</v>
      </c>
      <c r="F31" s="43" t="s">
        <v>49</v>
      </c>
      <c r="G31" s="53"/>
    </row>
    <row r="32" spans="1:7" ht="19.5" customHeight="1" x14ac:dyDescent="0.3">
      <c r="A32" s="4"/>
      <c r="B32" s="41" t="s">
        <v>74</v>
      </c>
      <c r="C32" s="56">
        <f>C12</f>
        <v>129.709</v>
      </c>
      <c r="D32" s="56">
        <f>D12</f>
        <v>86.581000000000003</v>
      </c>
      <c r="E32" s="56">
        <f>E12</f>
        <v>66.426000000000002</v>
      </c>
      <c r="F32" s="43" t="s">
        <v>53</v>
      </c>
      <c r="G32" s="53"/>
    </row>
    <row r="33" spans="1:7" ht="19.5" customHeight="1" x14ac:dyDescent="0.3">
      <c r="A33" s="4"/>
      <c r="B33" s="41" t="s">
        <v>75</v>
      </c>
      <c r="C33" s="64" t="s">
        <v>45</v>
      </c>
      <c r="D33" s="56">
        <f>D14/1000</f>
        <v>43.128</v>
      </c>
      <c r="E33" s="56">
        <f>E14/1000</f>
        <v>63.283000000000001</v>
      </c>
      <c r="F33" s="43" t="s">
        <v>53</v>
      </c>
      <c r="G33" s="53"/>
    </row>
    <row r="34" spans="1:7" ht="19.5" customHeight="1" x14ac:dyDescent="0.3">
      <c r="A34" s="4"/>
      <c r="B34" s="41" t="s">
        <v>76</v>
      </c>
      <c r="C34" s="57">
        <f t="shared" ref="C34:E35" si="1">C18</f>
        <v>39392.623300000007</v>
      </c>
      <c r="D34" s="57">
        <f t="shared" si="1"/>
        <v>26294.649700000002</v>
      </c>
      <c r="E34" s="57">
        <f t="shared" si="1"/>
        <v>20173.576200000003</v>
      </c>
      <c r="F34" s="43" t="s">
        <v>59</v>
      </c>
      <c r="G34" s="53"/>
    </row>
    <row r="35" spans="1:7" ht="19.5" customHeight="1" x14ac:dyDescent="0.3">
      <c r="A35" s="4"/>
      <c r="B35" s="41" t="s">
        <v>77</v>
      </c>
      <c r="C35" s="57">
        <f t="shared" si="1"/>
        <v>39392.623300000007</v>
      </c>
      <c r="D35" s="57">
        <f t="shared" si="1"/>
        <v>87131.049700000003</v>
      </c>
      <c r="E35" s="57">
        <f t="shared" si="1"/>
        <v>84260.776199999993</v>
      </c>
      <c r="F35" s="43" t="s">
        <v>59</v>
      </c>
      <c r="G35" s="53"/>
    </row>
    <row r="36" spans="1:7" ht="19.5" customHeight="1" x14ac:dyDescent="0.3">
      <c r="A36" s="4"/>
      <c r="B36" s="62" t="s">
        <v>78</v>
      </c>
      <c r="C36" s="59">
        <f>C22</f>
        <v>39392.623300000007</v>
      </c>
      <c r="D36" s="59">
        <f>D22</f>
        <v>256907.0497</v>
      </c>
      <c r="E36" s="59">
        <f>E22</f>
        <v>263108.77619999996</v>
      </c>
      <c r="F36" s="43" t="s">
        <v>59</v>
      </c>
      <c r="G36" s="53"/>
    </row>
    <row r="37" spans="1:7" x14ac:dyDescent="0.3">
      <c r="A37" s="4"/>
      <c r="B37" s="41" t="s">
        <v>79</v>
      </c>
      <c r="C37" s="64" t="s">
        <v>45</v>
      </c>
      <c r="D37" s="54">
        <f>IF(D25&gt;0,ROUND(D9/D25,1),"—")</f>
        <v>108</v>
      </c>
      <c r="E37" s="54">
        <f>IF(E25&gt;0,ROUND(E9/E25,1),"—")</f>
        <v>77.5</v>
      </c>
      <c r="F37" s="43" t="s">
        <v>70</v>
      </c>
      <c r="G37" s="53"/>
    </row>
  </sheetData>
  <mergeCells count="8">
    <mergeCell ref="A1:G1"/>
    <mergeCell ref="A4:G4"/>
    <mergeCell ref="A20:G20"/>
    <mergeCell ref="A29:G29"/>
    <mergeCell ref="A24:G24"/>
    <mergeCell ref="A2:G2"/>
    <mergeCell ref="A15:G15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1" sqref="C21"/>
    </sheetView>
  </sheetViews>
  <sheetFormatPr defaultColWidth="8.6640625" defaultRowHeight="14.4" x14ac:dyDescent="0.3"/>
  <cols>
    <col min="1" max="1" width="2" style="1" customWidth="1"/>
    <col min="2" max="2" width="20" style="1" customWidth="1"/>
    <col min="3" max="3" width="70" style="1" customWidth="1"/>
  </cols>
  <sheetData>
    <row r="1" spans="1:3" ht="25.5" customHeight="1" x14ac:dyDescent="0.3">
      <c r="A1" s="9" t="s">
        <v>80</v>
      </c>
    </row>
    <row r="2" spans="1:3" ht="13.5" customHeight="1" x14ac:dyDescent="0.3">
      <c r="A2" s="10" t="s">
        <v>81</v>
      </c>
    </row>
    <row r="3" spans="1:3" ht="19.5" customHeight="1" x14ac:dyDescent="0.3">
      <c r="A3" s="11" t="s">
        <v>82</v>
      </c>
    </row>
    <row r="4" spans="1:3" ht="21.75" customHeight="1" x14ac:dyDescent="0.3">
      <c r="A4" s="12"/>
      <c r="B4" s="13" t="s">
        <v>83</v>
      </c>
      <c r="C4" s="14" t="str">
        <f>'2_Расчёт'!C12&amp;" тыс. кВт·ч/год"</f>
        <v>129,709 тыс. кВт·ч/год</v>
      </c>
    </row>
    <row r="5" spans="1:3" ht="21.75" customHeight="1" x14ac:dyDescent="0.3">
      <c r="A5" s="15"/>
      <c r="B5" s="16" t="s">
        <v>84</v>
      </c>
      <c r="C5" s="17" t="str">
        <f>'2_Расчёт'!D12&amp;" тыс. кВт·ч/год"</f>
        <v>86,581 тыс. кВт·ч/год</v>
      </c>
    </row>
    <row r="6" spans="1:3" ht="21.75" customHeight="1" x14ac:dyDescent="0.3">
      <c r="A6" s="18"/>
      <c r="B6" s="19" t="s">
        <v>85</v>
      </c>
      <c r="C6" s="20" t="str">
        <f>ROUND('2_Расчёт'!D14/1000,3)&amp;" тыс. кВт·ч/год"</f>
        <v>43,128 тыс. кВт·ч/год</v>
      </c>
    </row>
    <row r="7" spans="1:3" ht="21.75" customHeight="1" x14ac:dyDescent="0.3">
      <c r="A7" s="18"/>
      <c r="B7" s="19" t="s">
        <v>86</v>
      </c>
      <c r="C7" s="20" t="str">
        <f>ROUND('2_Расчёт'!D25,0)&amp;" руб./год"</f>
        <v>13098 руб./год</v>
      </c>
    </row>
    <row r="9" spans="1:3" ht="19.5" customHeight="1" x14ac:dyDescent="0.3">
      <c r="A9" s="11" t="s">
        <v>87</v>
      </c>
    </row>
    <row r="10" spans="1:3" ht="21.75" customHeight="1" x14ac:dyDescent="0.3">
      <c r="A10" s="12"/>
      <c r="B10" s="13" t="s">
        <v>88</v>
      </c>
      <c r="C10" s="14" t="str">
        <f>ROUND('2_Расчёт'!C22,0)&amp;" руб./год"</f>
        <v>39393 руб./год</v>
      </c>
    </row>
    <row r="11" spans="1:3" ht="21.75" customHeight="1" x14ac:dyDescent="0.3">
      <c r="A11" s="15"/>
      <c r="B11" s="16" t="s">
        <v>89</v>
      </c>
      <c r="C11" s="17" t="str">
        <f>ROUND('2_Расчёт'!D22,0)&amp;" руб./год"</f>
        <v>256907 руб./год</v>
      </c>
    </row>
    <row r="12" spans="1:3" ht="21.75" customHeight="1" x14ac:dyDescent="0.3">
      <c r="A12" s="21"/>
      <c r="B12" s="22" t="s">
        <v>90</v>
      </c>
      <c r="C12" s="23" t="str">
        <f>ROUND('2_Расчёт'!D23,0)&amp;" руб./год"</f>
        <v>-217514 руб./год</v>
      </c>
    </row>
    <row r="13" spans="1:3" ht="21.75" customHeight="1" x14ac:dyDescent="0.3">
      <c r="A13" s="21"/>
      <c r="B13" s="22" t="s">
        <v>91</v>
      </c>
      <c r="C13" s="23" t="str">
        <f>IFERROR(ROUND('2_Расчёт'!D26,1)&amp;" лет",'2_Расчёт'!D26)</f>
        <v>108 лет</v>
      </c>
    </row>
    <row r="14" spans="1:3" ht="21.75" customHeight="1" x14ac:dyDescent="0.3">
      <c r="A14" s="24"/>
      <c r="B14" s="25" t="s">
        <v>92</v>
      </c>
      <c r="C14" s="26" t="str">
        <f>ROUND('2_Расчёт'!D27,1)&amp;" лет"</f>
        <v>8,3 лет</v>
      </c>
    </row>
    <row r="15" spans="1:3" ht="21.75" customHeight="1" x14ac:dyDescent="0.3">
      <c r="A15" s="21"/>
      <c r="B15" s="22" t="s">
        <v>93</v>
      </c>
      <c r="C15" s="23" t="e">
        <f>'2_Расчёт'!#REF!</f>
        <v>#REF!</v>
      </c>
    </row>
    <row r="17" spans="1:3" ht="21.75" customHeight="1" x14ac:dyDescent="0.3">
      <c r="A17" s="27" t="s">
        <v>94</v>
      </c>
    </row>
    <row r="18" spans="1:3" ht="75" customHeight="1" x14ac:dyDescent="0.3">
      <c r="A18" s="24"/>
      <c r="B18" s="28" t="s">
        <v>95</v>
      </c>
    </row>
    <row r="20" spans="1:3" ht="21.75" customHeight="1" x14ac:dyDescent="0.3">
      <c r="A20" s="29" t="s">
        <v>96</v>
      </c>
    </row>
    <row r="21" spans="1:3" ht="75" customHeight="1" x14ac:dyDescent="0.3">
      <c r="A21" s="30"/>
      <c r="B21" s="31" t="s">
        <v>97</v>
      </c>
    </row>
    <row r="23" spans="1:3" ht="21.75" customHeight="1" x14ac:dyDescent="0.3">
      <c r="A23" s="32" t="s">
        <v>98</v>
      </c>
    </row>
    <row r="24" spans="1:3" ht="75" customHeight="1" x14ac:dyDescent="0.3">
      <c r="A24" s="18"/>
      <c r="B24" s="33" t="s">
        <v>99</v>
      </c>
    </row>
    <row r="26" spans="1:3" ht="21.75" customHeight="1" x14ac:dyDescent="0.3">
      <c r="A26" s="34" t="s">
        <v>100</v>
      </c>
    </row>
    <row r="27" spans="1:3" ht="75" customHeight="1" x14ac:dyDescent="0.3">
      <c r="A27" s="35"/>
      <c r="B27" s="36" t="s">
        <v>101</v>
      </c>
    </row>
    <row r="29" spans="1:3" x14ac:dyDescent="0.3">
      <c r="A29" s="1" t="s">
        <v>102</v>
      </c>
    </row>
    <row r="30" spans="1:3" x14ac:dyDescent="0.3">
      <c r="B30" s="1" t="s">
        <v>103</v>
      </c>
      <c r="C30" s="1" t="str">
        <f>'2_Расчёт'!E12&amp;" тыс. кВт·ч/год"</f>
        <v>66,426 тыс. кВт·ч/год</v>
      </c>
    </row>
    <row r="31" spans="1:3" x14ac:dyDescent="0.3">
      <c r="B31" s="1" t="s">
        <v>104</v>
      </c>
      <c r="C31" s="1" t="str">
        <f>ROUND('2_Расчёт'!E14/1000,3)&amp;" тыс. кВт·ч/год"</f>
        <v>63,283 тыс. кВт·ч/год</v>
      </c>
    </row>
    <row r="32" spans="1:3" x14ac:dyDescent="0.3">
      <c r="B32" s="1" t="s">
        <v>105</v>
      </c>
      <c r="C32" s="1" t="str">
        <f>ROUND('2_Расчёт'!E25,0)&amp;" руб./год"</f>
        <v>19219 руб./год</v>
      </c>
    </row>
    <row r="33" spans="2:3" x14ac:dyDescent="0.3">
      <c r="B33" s="1" t="s">
        <v>106</v>
      </c>
      <c r="C33" s="1" t="str">
        <f>ROUND('2_Расчёт'!E22,0)&amp;" руб./год"</f>
        <v>263109 руб./год</v>
      </c>
    </row>
    <row r="34" spans="2:3" x14ac:dyDescent="0.3">
      <c r="B34" s="1" t="s">
        <v>107</v>
      </c>
      <c r="C34" s="1" t="str">
        <f>ROUND('2_Расчёт'!E23,0)&amp;" руб./год"</f>
        <v>-223716 руб./год</v>
      </c>
    </row>
    <row r="35" spans="2:3" x14ac:dyDescent="0.3">
      <c r="B35" s="1" t="s">
        <v>108</v>
      </c>
      <c r="C35" s="1" t="str">
        <f>IFERROR(ROUND('2_Расчёт'!E26,1)&amp;" лет",'2_Расчёт'!E26)</f>
        <v>77,5 лет</v>
      </c>
    </row>
    <row r="36" spans="2:3" x14ac:dyDescent="0.3">
      <c r="B36" s="1" t="s">
        <v>109</v>
      </c>
      <c r="C36" s="1" t="e">
        <f>'2_Расчёт'!#REF!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1_Исходные данные</vt:lpstr>
      <vt:lpstr>2_Расчёт</vt:lpstr>
      <vt:lpstr>3_Комментарии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2026-03-20T12:53:33Z</dcterms:created>
  <dcterms:modified xsi:type="dcterms:W3CDTF">2026-03-30T08:13:10Z</dcterms:modified>
  <dc:language>en-US</dc:language>
</cp:coreProperties>
</file>